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vens/dev/Unity/GameOffWaves25/Sketches/"/>
    </mc:Choice>
  </mc:AlternateContent>
  <xr:revisionPtr revIDLastSave="0" documentId="8_{C2D6ABEA-0599-D542-8306-D3B2C8244301}" xr6:coauthVersionLast="47" xr6:coauthVersionMax="47" xr10:uidLastSave="{00000000-0000-0000-0000-000000000000}"/>
  <bookViews>
    <workbookView xWindow="5160" yWindow="1800" windowWidth="28040" windowHeight="17440" xr2:uid="{3EF88C51-B9C0-6E41-91C5-A6A94A7F159B}"/>
  </bookViews>
  <sheets>
    <sheet name="Sheet1" sheetId="1" r:id="rId1"/>
  </sheets>
  <definedNames>
    <definedName name="_xlchart.v1.10" hidden="1">Sheet1!$H$42:$H$43</definedName>
    <definedName name="_xlchart.v1.11" hidden="1">Sheet1!$H$44:$H$54</definedName>
    <definedName name="_xlchart.v1.12" hidden="1">Sheet1!$I$42:$I$43</definedName>
    <definedName name="_xlchart.v1.13" hidden="1">Sheet1!$I$44:$I$54</definedName>
    <definedName name="_xlchart.v1.14" hidden="1">Sheet1!$J$42:$J$43</definedName>
    <definedName name="_xlchart.v1.15" hidden="1">Sheet1!$J$44:$J$54</definedName>
    <definedName name="_xlchart.v1.8" hidden="1">Sheet1!$G$42:$G$43</definedName>
    <definedName name="_xlchart.v1.9" hidden="1">Sheet1!$G$44:$G$54</definedName>
    <definedName name="_xlchart.v2.0" hidden="1">Sheet1!$G$42:$G$43</definedName>
    <definedName name="_xlchart.v2.1" hidden="1">Sheet1!$G$44:$G$54</definedName>
    <definedName name="_xlchart.v2.2" hidden="1">Sheet1!$H$42:$H$43</definedName>
    <definedName name="_xlchart.v2.3" hidden="1">Sheet1!$H$44:$H$54</definedName>
    <definedName name="_xlchart.v2.4" hidden="1">Sheet1!$I$42:$I$43</definedName>
    <definedName name="_xlchart.v2.5" hidden="1">Sheet1!$I$44:$I$54</definedName>
    <definedName name="_xlchart.v2.6" hidden="1">Sheet1!$J$42:$J$43</definedName>
    <definedName name="_xlchart.v2.7" hidden="1">Sheet1!$J$44:$J$54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1" l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H45" i="1"/>
  <c r="H46" i="1"/>
  <c r="H47" i="1"/>
  <c r="H48" i="1"/>
  <c r="H49" i="1"/>
  <c r="H50" i="1"/>
  <c r="H51" i="1"/>
  <c r="H52" i="1"/>
  <c r="H53" i="1"/>
  <c r="H54" i="1"/>
  <c r="H44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22" i="1"/>
  <c r="S16" i="1"/>
  <c r="R16" i="1"/>
  <c r="S14" i="1"/>
  <c r="R14" i="1"/>
  <c r="S12" i="1"/>
  <c r="R12" i="1"/>
  <c r="I16" i="1"/>
  <c r="J16" i="1"/>
  <c r="K16" i="1"/>
  <c r="L16" i="1"/>
  <c r="M16" i="1"/>
  <c r="N16" i="1"/>
  <c r="O16" i="1"/>
  <c r="P16" i="1"/>
  <c r="Q16" i="1"/>
  <c r="H16" i="1"/>
  <c r="P14" i="1"/>
  <c r="I14" i="1"/>
  <c r="J14" i="1"/>
  <c r="K14" i="1"/>
  <c r="L14" i="1"/>
  <c r="M14" i="1"/>
  <c r="N14" i="1"/>
  <c r="O14" i="1"/>
  <c r="Q14" i="1"/>
  <c r="H14" i="1"/>
  <c r="Q12" i="1"/>
  <c r="P12" i="1"/>
  <c r="K12" i="1"/>
  <c r="L12" i="1"/>
  <c r="M12" i="1"/>
  <c r="N12" i="1"/>
  <c r="O12" i="1"/>
  <c r="J12" i="1"/>
  <c r="I12" i="1"/>
  <c r="H12" i="1"/>
</calcChain>
</file>

<file path=xl/sharedStrings.xml><?xml version="1.0" encoding="utf-8"?>
<sst xmlns="http://schemas.openxmlformats.org/spreadsheetml/2006/main" count="28" uniqueCount="22">
  <si>
    <t>target factor</t>
  </si>
  <si>
    <t>self factor</t>
  </si>
  <si>
    <t>agressivity</t>
  </si>
  <si>
    <t>self preservation</t>
  </si>
  <si>
    <t>the lower my health the less inclined i am of attacking</t>
  </si>
  <si>
    <t>the lower the enemy health the more likely i am of attacking</t>
  </si>
  <si>
    <t>1 - self factor</t>
  </si>
  <si>
    <t>full</t>
  </si>
  <si>
    <t>no influence</t>
  </si>
  <si>
    <t>dead</t>
  </si>
  <si>
    <t>no attack</t>
  </si>
  <si>
    <t>almost dead</t>
  </si>
  <si>
    <t>Utility Score = (MyHealth - TargetHealth) * [ A + (MyHealth * S) ]</t>
  </si>
  <si>
    <t>Utility</t>
  </si>
  <si>
    <t>Utility Score = A + (MyHealth - TargetHealth) * (MyHealth * S)</t>
  </si>
  <si>
    <t>Utility Score = A + (MyHealth - TargetHealth) * S</t>
  </si>
  <si>
    <t>A</t>
  </si>
  <si>
    <t>S</t>
  </si>
  <si>
    <t>Self</t>
  </si>
  <si>
    <t>Target</t>
  </si>
  <si>
    <t>power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</si>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</sst>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.5"/>
      <color theme="1"/>
      <name val="Menlo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1"/>
        <c:ser>
          <c:idx val="0"/>
          <c:order val="0"/>
          <c:tx>
            <c:strRef>
              <c:f>Sheet1!$H$21</c:f>
              <c:strCache>
                <c:ptCount val="1"/>
                <c:pt idx="0">
                  <c:v>Target</c:v>
                </c:pt>
              </c:strCache>
            </c:strRef>
          </c:tx>
          <c:spPr>
            <a:ln>
              <a:solidFill>
                <a:schemeClr val="accent1">
                  <a:alpha val="60526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  <a:alpha val="75000"/>
                </a:schemeClr>
              </a:solidFill>
              <a:ln>
                <a:solidFill>
                  <a:schemeClr val="accent1">
                    <a:alpha val="60526"/>
                  </a:schemeClr>
                </a:solidFill>
              </a:ln>
              <a:effectLst/>
            </c:spPr>
          </c:dPt>
          <c:xVal>
            <c:numRef>
              <c:f>Sheet1!$G$22:$G$40</c:f>
              <c:numCache>
                <c:formatCode>General</c:formatCode>
                <c:ptCount val="19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1</c:v>
                </c:pt>
                <c:pt idx="11">
                  <c:v>0.9</c:v>
                </c:pt>
                <c:pt idx="12">
                  <c:v>0.8</c:v>
                </c:pt>
                <c:pt idx="13">
                  <c:v>0.7</c:v>
                </c:pt>
                <c:pt idx="14">
                  <c:v>0.6</c:v>
                </c:pt>
                <c:pt idx="15">
                  <c:v>0.5</c:v>
                </c:pt>
                <c:pt idx="16">
                  <c:v>0.4</c:v>
                </c:pt>
                <c:pt idx="17">
                  <c:v>0.3</c:v>
                </c:pt>
                <c:pt idx="18">
                  <c:v>0.2</c:v>
                </c:pt>
              </c:numCache>
            </c:numRef>
          </c:xVal>
          <c:yVal>
            <c:numRef>
              <c:f>Sheet1!$H$22:$H$40</c:f>
              <c:numCache>
                <c:formatCode>General</c:formatCode>
                <c:ptCount val="1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</c:numCache>
            </c:numRef>
          </c:yVal>
          <c:bubbleSize>
            <c:numRef>
              <c:f>Sheet1!$I$22:$I$40</c:f>
              <c:numCache>
                <c:formatCode>General</c:formatCode>
                <c:ptCount val="19"/>
                <c:pt idx="0">
                  <c:v>2.9</c:v>
                </c:pt>
                <c:pt idx="1">
                  <c:v>2.7</c:v>
                </c:pt>
                <c:pt idx="2">
                  <c:v>2.5</c:v>
                </c:pt>
                <c:pt idx="3">
                  <c:v>2.2999999999999998</c:v>
                </c:pt>
                <c:pt idx="4">
                  <c:v>2.1</c:v>
                </c:pt>
                <c:pt idx="5">
                  <c:v>1.9</c:v>
                </c:pt>
                <c:pt idx="6">
                  <c:v>1.7000000000000002</c:v>
                </c:pt>
                <c:pt idx="7">
                  <c:v>1.5</c:v>
                </c:pt>
                <c:pt idx="8">
                  <c:v>1.3</c:v>
                </c:pt>
                <c:pt idx="9">
                  <c:v>1.1000000000000001</c:v>
                </c:pt>
                <c:pt idx="10">
                  <c:v>2.1</c:v>
                </c:pt>
                <c:pt idx="11">
                  <c:v>2</c:v>
                </c:pt>
                <c:pt idx="12">
                  <c:v>1.9</c:v>
                </c:pt>
                <c:pt idx="13">
                  <c:v>1.7999999999999998</c:v>
                </c:pt>
                <c:pt idx="14">
                  <c:v>1.7</c:v>
                </c:pt>
                <c:pt idx="15">
                  <c:v>1.6</c:v>
                </c:pt>
                <c:pt idx="16">
                  <c:v>1.5</c:v>
                </c:pt>
                <c:pt idx="17">
                  <c:v>1.4</c:v>
                </c:pt>
                <c:pt idx="18">
                  <c:v>1.3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83DF-DC4B-8841-A01A9BA0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sizeRepresents val="w"/>
        <c:axId val="804488576"/>
        <c:axId val="804610752"/>
      </c:bubbleChart>
      <c:valAx>
        <c:axId val="804488576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610752"/>
        <c:crosses val="autoZero"/>
        <c:crossBetween val="midCat"/>
      </c:valAx>
      <c:valAx>
        <c:axId val="8046107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48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Sheet1!$H$42:$H$43</c:f>
              <c:strCache>
                <c:ptCount val="2"/>
                <c:pt idx="0">
                  <c:v>2</c:v>
                </c:pt>
                <c:pt idx="1">
                  <c:v>power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Sheet1!$G$44:$G$54</c:f>
              <c:numCache>
                <c:formatCode>General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cat>
          <c:val>
            <c:numRef>
              <c:f>Sheet1!$H$44:$H$54</c:f>
              <c:numCache>
                <c:formatCode>General</c:formatCode>
                <c:ptCount val="11"/>
                <c:pt idx="0">
                  <c:v>1</c:v>
                </c:pt>
                <c:pt idx="1">
                  <c:v>0.81</c:v>
                </c:pt>
                <c:pt idx="2">
                  <c:v>0.64000000000000012</c:v>
                </c:pt>
                <c:pt idx="3">
                  <c:v>0.48999999999999994</c:v>
                </c:pt>
                <c:pt idx="4">
                  <c:v>0.36</c:v>
                </c:pt>
                <c:pt idx="5">
                  <c:v>0.25</c:v>
                </c:pt>
                <c:pt idx="6">
                  <c:v>0.16000000000000003</c:v>
                </c:pt>
                <c:pt idx="7">
                  <c:v>0.09</c:v>
                </c:pt>
                <c:pt idx="8">
                  <c:v>4.0000000000000008E-2</c:v>
                </c:pt>
                <c:pt idx="9">
                  <c:v>1.0000000000000002E-2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6-5C45-960A-33EADD2BD9B3}"/>
            </c:ext>
          </c:extLst>
        </c:ser>
        <c:ser>
          <c:idx val="1"/>
          <c:order val="1"/>
          <c:tx>
            <c:strRef>
              <c:f>Sheet1!$I$42:$I$43</c:f>
              <c:strCache>
                <c:ptCount val="2"/>
                <c:pt idx="0">
                  <c:v>3</c:v>
                </c:pt>
                <c:pt idx="1">
                  <c:v>power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Sheet1!$G$44:$G$54</c:f>
              <c:numCache>
                <c:formatCode>General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cat>
          <c:val>
            <c:numRef>
              <c:f>Sheet1!$I$44:$I$54</c:f>
              <c:numCache>
                <c:formatCode>General</c:formatCode>
                <c:ptCount val="11"/>
                <c:pt idx="0">
                  <c:v>1</c:v>
                </c:pt>
                <c:pt idx="1">
                  <c:v>0.72900000000000009</c:v>
                </c:pt>
                <c:pt idx="2">
                  <c:v>0.51200000000000012</c:v>
                </c:pt>
                <c:pt idx="3">
                  <c:v>0.34299999999999992</c:v>
                </c:pt>
                <c:pt idx="4">
                  <c:v>0.216</c:v>
                </c:pt>
                <c:pt idx="5">
                  <c:v>0.125</c:v>
                </c:pt>
                <c:pt idx="6">
                  <c:v>6.4000000000000015E-2</c:v>
                </c:pt>
                <c:pt idx="7">
                  <c:v>2.7E-2</c:v>
                </c:pt>
                <c:pt idx="8">
                  <c:v>8.0000000000000019E-3</c:v>
                </c:pt>
                <c:pt idx="9">
                  <c:v>1.0000000000000002E-3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6-5C45-960A-33EADD2BD9B3}"/>
            </c:ext>
          </c:extLst>
        </c:ser>
        <c:ser>
          <c:idx val="2"/>
          <c:order val="2"/>
          <c:tx>
            <c:strRef>
              <c:f>Sheet1!$J$42:$J$43</c:f>
              <c:strCache>
                <c:ptCount val="2"/>
                <c:pt idx="0">
                  <c:v>5</c:v>
                </c:pt>
                <c:pt idx="1">
                  <c:v>power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Sheet1!$G$44:$G$54</c:f>
              <c:numCache>
                <c:formatCode>General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cat>
          <c:val>
            <c:numRef>
              <c:f>Sheet1!$J$44:$J$54</c:f>
              <c:numCache>
                <c:formatCode>General</c:formatCode>
                <c:ptCount val="11"/>
                <c:pt idx="0">
                  <c:v>1</c:v>
                </c:pt>
                <c:pt idx="1">
                  <c:v>0.59049000000000018</c:v>
                </c:pt>
                <c:pt idx="2">
                  <c:v>0.32768000000000019</c:v>
                </c:pt>
                <c:pt idx="3">
                  <c:v>0.16806999999999994</c:v>
                </c:pt>
                <c:pt idx="4">
                  <c:v>7.7759999999999996E-2</c:v>
                </c:pt>
                <c:pt idx="5">
                  <c:v>3.125E-2</c:v>
                </c:pt>
                <c:pt idx="6">
                  <c:v>1.0240000000000006E-2</c:v>
                </c:pt>
                <c:pt idx="7">
                  <c:v>2.4299999999999999E-3</c:v>
                </c:pt>
                <c:pt idx="8">
                  <c:v>3.2000000000000019E-4</c:v>
                </c:pt>
                <c:pt idx="9">
                  <c:v>1.0000000000000006E-5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A6-5C45-960A-33EADD2BD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127744"/>
        <c:axId val="513129456"/>
      </c:lineChart>
      <c:catAx>
        <c:axId val="51312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29456"/>
        <c:crosses val="autoZero"/>
        <c:auto val="1"/>
        <c:lblAlgn val="ctr"/>
        <c:lblOffset val="100"/>
        <c:noMultiLvlLbl val="0"/>
      </c:catAx>
      <c:valAx>
        <c:axId val="51312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2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431800</xdr:colOff>
      <xdr:row>19</xdr:row>
      <xdr:rowOff>38100</xdr:rowOff>
    </xdr:from>
    <xdr:to>
      <xdr:col>17</xdr:col>
      <xdr:colOff>330200</xdr:colOff>
      <xdr:row>40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CC405-0A17-37FA-A3B6-BC9E0D576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42</xdr:row>
      <xdr:rowOff>0</xdr:rowOff>
    </xdr:from>
    <xdr:to>
      <xdr:col>16</xdr:col>
      <xdr:colOff>444500</xdr:colOff>
      <xdr:row>55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EEEF97-5230-3342-9AAD-D74C6A1FD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4DBD-BAE2-104D-84E5-0EF4EDED9CDE}">
  <dimension ref="B7:S54"/>
  <sheetViews>
    <sheetView tabSelected="1" topLeftCell="D9" workbookViewId="0">
      <selection activeCell="L43" sqref="L43"/>
    </sheetView>
  </sheetViews>
  <sheetFormatPr baseColWidth="10" defaultRowHeight="16" x14ac:dyDescent="0.2"/>
  <cols>
    <col min="6" max="6" width="17.1640625" customWidth="1"/>
  </cols>
  <sheetData>
    <row r="7" spans="2:19" x14ac:dyDescent="0.2">
      <c r="B7" t="s">
        <v>4</v>
      </c>
      <c r="G7" t="s">
        <v>0</v>
      </c>
      <c r="H7">
        <v>1</v>
      </c>
      <c r="I7">
        <v>0.1</v>
      </c>
      <c r="J7">
        <v>0.2</v>
      </c>
      <c r="K7">
        <v>1</v>
      </c>
      <c r="L7">
        <v>1</v>
      </c>
      <c r="M7">
        <v>0.4</v>
      </c>
      <c r="N7">
        <v>0.4</v>
      </c>
      <c r="O7">
        <v>0.2</v>
      </c>
      <c r="P7">
        <v>0.4</v>
      </c>
      <c r="Q7">
        <v>0.2</v>
      </c>
      <c r="R7">
        <v>1</v>
      </c>
      <c r="S7">
        <v>0.2</v>
      </c>
    </row>
    <row r="8" spans="2:19" x14ac:dyDescent="0.2">
      <c r="B8" t="s">
        <v>5</v>
      </c>
      <c r="G8" t="s">
        <v>1</v>
      </c>
      <c r="H8">
        <v>1</v>
      </c>
      <c r="I8">
        <v>1</v>
      </c>
      <c r="J8">
        <v>0.5</v>
      </c>
      <c r="K8">
        <v>0.4</v>
      </c>
      <c r="L8">
        <v>0.4</v>
      </c>
      <c r="M8">
        <v>0.4</v>
      </c>
      <c r="N8">
        <v>0.2</v>
      </c>
      <c r="O8">
        <v>0.4</v>
      </c>
      <c r="P8">
        <v>0.2</v>
      </c>
      <c r="Q8">
        <v>0.4</v>
      </c>
      <c r="R8">
        <v>0.2</v>
      </c>
      <c r="S8">
        <v>1</v>
      </c>
    </row>
    <row r="9" spans="2:19" x14ac:dyDescent="0.2">
      <c r="G9" t="s">
        <v>2</v>
      </c>
      <c r="H9" s="1">
        <v>1</v>
      </c>
      <c r="I9" s="1">
        <v>1</v>
      </c>
      <c r="J9" s="1">
        <v>1</v>
      </c>
      <c r="K9" s="1">
        <v>1</v>
      </c>
      <c r="L9" s="1">
        <v>5</v>
      </c>
      <c r="M9" s="1">
        <v>5</v>
      </c>
      <c r="N9" s="1">
        <v>5</v>
      </c>
      <c r="O9" s="1">
        <v>5</v>
      </c>
      <c r="P9">
        <v>1</v>
      </c>
      <c r="Q9">
        <v>1</v>
      </c>
      <c r="R9">
        <v>1</v>
      </c>
      <c r="S9">
        <v>1</v>
      </c>
    </row>
    <row r="10" spans="2:19" x14ac:dyDescent="0.2">
      <c r="C10" t="s">
        <v>6</v>
      </c>
      <c r="G10" t="s">
        <v>3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s="1">
        <v>5</v>
      </c>
      <c r="Q10" s="1">
        <v>5</v>
      </c>
      <c r="R10" s="1">
        <v>5</v>
      </c>
      <c r="S10" s="1">
        <v>5</v>
      </c>
    </row>
    <row r="11" spans="2:19" x14ac:dyDescent="0.2">
      <c r="C11" t="s">
        <v>7</v>
      </c>
      <c r="D11">
        <v>0</v>
      </c>
      <c r="E11" t="s">
        <v>8</v>
      </c>
      <c r="G11" s="2" t="s">
        <v>12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2:19" x14ac:dyDescent="0.2">
      <c r="C12" t="s">
        <v>9</v>
      </c>
      <c r="D12">
        <v>1</v>
      </c>
      <c r="E12" t="s">
        <v>10</v>
      </c>
      <c r="G12" t="s">
        <v>13</v>
      </c>
      <c r="H12" s="1">
        <f>(H8-H7)*(H9+H8*H10)</f>
        <v>0</v>
      </c>
      <c r="I12" s="1">
        <f>(I8-I7)*(I9+I8*I10)</f>
        <v>1.8</v>
      </c>
      <c r="J12" s="1">
        <f>(J8-J7)*(J9+J8*J10)</f>
        <v>0.44999999999999996</v>
      </c>
      <c r="K12" s="1">
        <f>(K8-K7)*(K9+K8*K10)</f>
        <v>-0.84</v>
      </c>
      <c r="L12" s="1">
        <f>(L8-L7)*(L9+L8*L10)</f>
        <v>-3.24</v>
      </c>
      <c r="M12" s="1">
        <f>(M8-M7)*(M9+M8*M10)</f>
        <v>0</v>
      </c>
      <c r="N12" s="1">
        <f>(N8-N7)*(N9+N8*N10)</f>
        <v>-1.04</v>
      </c>
      <c r="O12" s="1">
        <f>(O8-O7)*(O9+O8*O10)</f>
        <v>1.08</v>
      </c>
      <c r="P12" s="1">
        <f>(P8-P7)*(P9+P8*P10)</f>
        <v>-0.4</v>
      </c>
      <c r="Q12" s="1">
        <f>(Q8-Q7)*(Q9+Q8*Q10)</f>
        <v>0.60000000000000009</v>
      </c>
      <c r="R12" s="1">
        <f>(R8-R7)*(R9+R8*R10)</f>
        <v>-1.6</v>
      </c>
      <c r="S12" s="1">
        <f>(S8-S7)*(S9+S8*S10)</f>
        <v>4.8000000000000007</v>
      </c>
    </row>
    <row r="13" spans="2:19" x14ac:dyDescent="0.2">
      <c r="C13" t="s">
        <v>11</v>
      </c>
      <c r="D13">
        <v>0.1</v>
      </c>
      <c r="E13" t="s">
        <v>10</v>
      </c>
      <c r="G13" s="4" t="s">
        <v>14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2:19" x14ac:dyDescent="0.2">
      <c r="G14" t="s">
        <v>13</v>
      </c>
      <c r="H14">
        <f>H9+(H8-H7)*(H8*H10)</f>
        <v>1</v>
      </c>
      <c r="I14">
        <f t="shared" ref="I14:Q14" si="0">I9+(I8-I7)*(I8*I10)</f>
        <v>1.9</v>
      </c>
      <c r="J14">
        <f t="shared" si="0"/>
        <v>1.1499999999999999</v>
      </c>
      <c r="K14">
        <f t="shared" si="0"/>
        <v>0.76</v>
      </c>
      <c r="L14">
        <f t="shared" si="0"/>
        <v>4.76</v>
      </c>
      <c r="M14">
        <f t="shared" si="0"/>
        <v>5</v>
      </c>
      <c r="N14">
        <f t="shared" si="0"/>
        <v>4.96</v>
      </c>
      <c r="O14">
        <f t="shared" si="0"/>
        <v>5.08</v>
      </c>
      <c r="P14">
        <f>P9+(P8-P7)*(P8*P10)</f>
        <v>0.8</v>
      </c>
      <c r="Q14">
        <f t="shared" si="0"/>
        <v>1.4</v>
      </c>
      <c r="R14">
        <f>R9+(R8-R7)*(R8*R10)</f>
        <v>0.19999999999999996</v>
      </c>
      <c r="S14">
        <f t="shared" ref="S14" si="1">S9+(S8-S7)*(S8*S10)</f>
        <v>5</v>
      </c>
    </row>
    <row r="15" spans="2:19" x14ac:dyDescent="0.2">
      <c r="G15" s="6" t="s">
        <v>15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2:19" x14ac:dyDescent="0.2">
      <c r="G16" t="s">
        <v>13</v>
      </c>
      <c r="H16">
        <f>H9+(H8-H7)*H10</f>
        <v>1</v>
      </c>
      <c r="I16">
        <f t="shared" ref="I16:Q16" si="2">I9+(I8-I7)*I10</f>
        <v>1.9</v>
      </c>
      <c r="J16">
        <f t="shared" si="2"/>
        <v>1.3</v>
      </c>
      <c r="K16">
        <f t="shared" si="2"/>
        <v>0.4</v>
      </c>
      <c r="L16">
        <f t="shared" si="2"/>
        <v>4.4000000000000004</v>
      </c>
      <c r="M16">
        <f t="shared" si="2"/>
        <v>5</v>
      </c>
      <c r="N16">
        <f t="shared" si="2"/>
        <v>4.8</v>
      </c>
      <c r="O16">
        <f t="shared" si="2"/>
        <v>5.2</v>
      </c>
      <c r="P16">
        <f t="shared" si="2"/>
        <v>0</v>
      </c>
      <c r="Q16">
        <f t="shared" si="2"/>
        <v>2</v>
      </c>
      <c r="R16">
        <f t="shared" ref="R16:S16" si="3">R9+(R8-R7)*R10</f>
        <v>-3</v>
      </c>
      <c r="S16">
        <f t="shared" si="3"/>
        <v>5</v>
      </c>
    </row>
    <row r="19" spans="7:9" x14ac:dyDescent="0.2">
      <c r="G19" t="s">
        <v>16</v>
      </c>
      <c r="H19">
        <v>2</v>
      </c>
    </row>
    <row r="20" spans="7:9" x14ac:dyDescent="0.2">
      <c r="G20" t="s">
        <v>17</v>
      </c>
      <c r="H20">
        <v>1</v>
      </c>
    </row>
    <row r="21" spans="7:9" x14ac:dyDescent="0.2">
      <c r="G21" t="s">
        <v>18</v>
      </c>
      <c r="H21" t="s">
        <v>19</v>
      </c>
      <c r="I21" t="s">
        <v>13</v>
      </c>
    </row>
    <row r="22" spans="7:9" x14ac:dyDescent="0.2">
      <c r="G22">
        <v>1</v>
      </c>
      <c r="H22">
        <v>0.1</v>
      </c>
      <c r="I22">
        <f>$H$19+(G22-H22)*$H$20</f>
        <v>2.9</v>
      </c>
    </row>
    <row r="23" spans="7:9" x14ac:dyDescent="0.2">
      <c r="G23">
        <v>0.9</v>
      </c>
      <c r="H23">
        <v>0.2</v>
      </c>
      <c r="I23">
        <f t="shared" ref="I23:I40" si="4">$H$19+(G23-H23)*$H$20</f>
        <v>2.7</v>
      </c>
    </row>
    <row r="24" spans="7:9" x14ac:dyDescent="0.2">
      <c r="G24">
        <v>0.8</v>
      </c>
      <c r="H24">
        <v>0.3</v>
      </c>
      <c r="I24">
        <f t="shared" si="4"/>
        <v>2.5</v>
      </c>
    </row>
    <row r="25" spans="7:9" x14ac:dyDescent="0.2">
      <c r="G25">
        <v>0.7</v>
      </c>
      <c r="H25">
        <v>0.4</v>
      </c>
      <c r="I25">
        <f t="shared" si="4"/>
        <v>2.2999999999999998</v>
      </c>
    </row>
    <row r="26" spans="7:9" x14ac:dyDescent="0.2">
      <c r="G26">
        <v>0.6</v>
      </c>
      <c r="H26">
        <v>0.5</v>
      </c>
      <c r="I26">
        <f t="shared" si="4"/>
        <v>2.1</v>
      </c>
    </row>
    <row r="27" spans="7:9" x14ac:dyDescent="0.2">
      <c r="G27">
        <v>0.5</v>
      </c>
      <c r="H27">
        <v>0.6</v>
      </c>
      <c r="I27">
        <f t="shared" si="4"/>
        <v>1.9</v>
      </c>
    </row>
    <row r="28" spans="7:9" x14ac:dyDescent="0.2">
      <c r="G28">
        <v>0.4</v>
      </c>
      <c r="H28">
        <v>0.7</v>
      </c>
      <c r="I28">
        <f t="shared" si="4"/>
        <v>1.7000000000000002</v>
      </c>
    </row>
    <row r="29" spans="7:9" x14ac:dyDescent="0.2">
      <c r="G29">
        <v>0.3</v>
      </c>
      <c r="H29">
        <v>0.8</v>
      </c>
      <c r="I29">
        <f t="shared" si="4"/>
        <v>1.5</v>
      </c>
    </row>
    <row r="30" spans="7:9" x14ac:dyDescent="0.2">
      <c r="G30">
        <v>0.2</v>
      </c>
      <c r="H30">
        <v>0.9</v>
      </c>
      <c r="I30">
        <f t="shared" si="4"/>
        <v>1.3</v>
      </c>
    </row>
    <row r="31" spans="7:9" x14ac:dyDescent="0.2">
      <c r="G31">
        <v>0.1</v>
      </c>
      <c r="H31">
        <v>1</v>
      </c>
      <c r="I31">
        <f t="shared" si="4"/>
        <v>1.1000000000000001</v>
      </c>
    </row>
    <row r="32" spans="7:9" x14ac:dyDescent="0.2">
      <c r="G32">
        <v>1</v>
      </c>
      <c r="H32">
        <v>0.9</v>
      </c>
      <c r="I32">
        <f t="shared" si="4"/>
        <v>2.1</v>
      </c>
    </row>
    <row r="33" spans="7:10" x14ac:dyDescent="0.2">
      <c r="G33">
        <v>0.9</v>
      </c>
      <c r="H33">
        <v>0.9</v>
      </c>
      <c r="I33">
        <f t="shared" si="4"/>
        <v>2</v>
      </c>
    </row>
    <row r="34" spans="7:10" x14ac:dyDescent="0.2">
      <c r="G34">
        <v>0.8</v>
      </c>
      <c r="H34">
        <v>0.9</v>
      </c>
      <c r="I34">
        <f t="shared" si="4"/>
        <v>1.9</v>
      </c>
    </row>
    <row r="35" spans="7:10" x14ac:dyDescent="0.2">
      <c r="G35">
        <v>0.7</v>
      </c>
      <c r="H35">
        <v>0.9</v>
      </c>
      <c r="I35">
        <f t="shared" si="4"/>
        <v>1.7999999999999998</v>
      </c>
    </row>
    <row r="36" spans="7:10" x14ac:dyDescent="0.2">
      <c r="G36">
        <v>0.6</v>
      </c>
      <c r="H36">
        <v>0.9</v>
      </c>
      <c r="I36">
        <f t="shared" si="4"/>
        <v>1.7</v>
      </c>
    </row>
    <row r="37" spans="7:10" x14ac:dyDescent="0.2">
      <c r="G37">
        <v>0.5</v>
      </c>
      <c r="H37">
        <v>0.9</v>
      </c>
      <c r="I37">
        <f t="shared" si="4"/>
        <v>1.6</v>
      </c>
    </row>
    <row r="38" spans="7:10" x14ac:dyDescent="0.2">
      <c r="G38">
        <v>0.4</v>
      </c>
      <c r="H38">
        <v>0.9</v>
      </c>
      <c r="I38">
        <f t="shared" si="4"/>
        <v>1.5</v>
      </c>
    </row>
    <row r="39" spans="7:10" x14ac:dyDescent="0.2">
      <c r="G39">
        <v>0.3</v>
      </c>
      <c r="H39">
        <v>0.9</v>
      </c>
      <c r="I39">
        <f t="shared" si="4"/>
        <v>1.4</v>
      </c>
    </row>
    <row r="40" spans="7:10" x14ac:dyDescent="0.2">
      <c r="G40">
        <v>0.2</v>
      </c>
      <c r="H40">
        <v>0.9</v>
      </c>
      <c r="I40">
        <f t="shared" si="4"/>
        <v>1.3</v>
      </c>
    </row>
    <row r="42" spans="7:10" x14ac:dyDescent="0.2">
      <c r="H42">
        <v>2</v>
      </c>
      <c r="I42">
        <v>3</v>
      </c>
      <c r="J42">
        <v>5</v>
      </c>
    </row>
    <row r="43" spans="7:10" x14ac:dyDescent="0.2">
      <c r="G43" t="s">
        <v>21</v>
      </c>
      <c r="H43" t="s">
        <v>20</v>
      </c>
      <c r="I43" t="s">
        <v>20</v>
      </c>
      <c r="J43" t="s">
        <v>20</v>
      </c>
    </row>
    <row r="44" spans="7:10" x14ac:dyDescent="0.2">
      <c r="G44">
        <v>1</v>
      </c>
      <c r="H44">
        <f>POWER($G44,H$42)</f>
        <v>1</v>
      </c>
      <c r="I44">
        <f t="shared" ref="I44:J44" si="5">POWER($G44,I$42)</f>
        <v>1</v>
      </c>
      <c r="J44">
        <f t="shared" si="5"/>
        <v>1</v>
      </c>
    </row>
    <row r="45" spans="7:10" x14ac:dyDescent="0.2">
      <c r="G45">
        <v>0.9</v>
      </c>
      <c r="H45">
        <f t="shared" ref="H45:J54" si="6">POWER($G45,H$42)</f>
        <v>0.81</v>
      </c>
      <c r="I45">
        <f t="shared" si="6"/>
        <v>0.72900000000000009</v>
      </c>
      <c r="J45">
        <f t="shared" si="6"/>
        <v>0.59049000000000018</v>
      </c>
    </row>
    <row r="46" spans="7:10" x14ac:dyDescent="0.2">
      <c r="G46">
        <v>0.8</v>
      </c>
      <c r="H46">
        <f t="shared" si="6"/>
        <v>0.64000000000000012</v>
      </c>
      <c r="I46">
        <f t="shared" si="6"/>
        <v>0.51200000000000012</v>
      </c>
      <c r="J46">
        <f t="shared" si="6"/>
        <v>0.32768000000000019</v>
      </c>
    </row>
    <row r="47" spans="7:10" x14ac:dyDescent="0.2">
      <c r="G47">
        <v>0.7</v>
      </c>
      <c r="H47">
        <f t="shared" si="6"/>
        <v>0.48999999999999994</v>
      </c>
      <c r="I47">
        <f t="shared" si="6"/>
        <v>0.34299999999999992</v>
      </c>
      <c r="J47">
        <f t="shared" si="6"/>
        <v>0.16806999999999994</v>
      </c>
    </row>
    <row r="48" spans="7:10" x14ac:dyDescent="0.2">
      <c r="G48">
        <v>0.6</v>
      </c>
      <c r="H48">
        <f t="shared" si="6"/>
        <v>0.36</v>
      </c>
      <c r="I48">
        <f t="shared" si="6"/>
        <v>0.216</v>
      </c>
      <c r="J48">
        <f t="shared" si="6"/>
        <v>7.7759999999999996E-2</v>
      </c>
    </row>
    <row r="49" spans="7:10" x14ac:dyDescent="0.2">
      <c r="G49">
        <v>0.5</v>
      </c>
      <c r="H49">
        <f t="shared" si="6"/>
        <v>0.25</v>
      </c>
      <c r="I49">
        <f t="shared" si="6"/>
        <v>0.125</v>
      </c>
      <c r="J49">
        <f t="shared" si="6"/>
        <v>3.125E-2</v>
      </c>
    </row>
    <row r="50" spans="7:10" x14ac:dyDescent="0.2">
      <c r="G50">
        <v>0.4</v>
      </c>
      <c r="H50">
        <f t="shared" si="6"/>
        <v>0.16000000000000003</v>
      </c>
      <c r="I50">
        <f t="shared" si="6"/>
        <v>6.4000000000000015E-2</v>
      </c>
      <c r="J50">
        <f t="shared" si="6"/>
        <v>1.0240000000000006E-2</v>
      </c>
    </row>
    <row r="51" spans="7:10" x14ac:dyDescent="0.2">
      <c r="G51">
        <v>0.3</v>
      </c>
      <c r="H51">
        <f t="shared" si="6"/>
        <v>0.09</v>
      </c>
      <c r="I51">
        <f t="shared" si="6"/>
        <v>2.7E-2</v>
      </c>
      <c r="J51">
        <f t="shared" si="6"/>
        <v>2.4299999999999999E-3</v>
      </c>
    </row>
    <row r="52" spans="7:10" x14ac:dyDescent="0.2">
      <c r="G52">
        <v>0.2</v>
      </c>
      <c r="H52">
        <f t="shared" si="6"/>
        <v>4.0000000000000008E-2</v>
      </c>
      <c r="I52">
        <f t="shared" si="6"/>
        <v>8.0000000000000019E-3</v>
      </c>
      <c r="J52">
        <f t="shared" si="6"/>
        <v>3.2000000000000019E-4</v>
      </c>
    </row>
    <row r="53" spans="7:10" x14ac:dyDescent="0.2">
      <c r="G53">
        <v>0.1</v>
      </c>
      <c r="H53">
        <f t="shared" si="6"/>
        <v>1.0000000000000002E-2</v>
      </c>
      <c r="I53">
        <f t="shared" si="6"/>
        <v>1.0000000000000002E-3</v>
      </c>
      <c r="J53">
        <f t="shared" si="6"/>
        <v>1.0000000000000006E-5</v>
      </c>
    </row>
    <row r="54" spans="7:10" x14ac:dyDescent="0.2">
      <c r="G54">
        <v>0</v>
      </c>
      <c r="H54">
        <f t="shared" si="6"/>
        <v>0</v>
      </c>
      <c r="I54">
        <f t="shared" si="6"/>
        <v>0</v>
      </c>
      <c r="J54">
        <f t="shared" si="6"/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Yvens Rebouças Serpa</dc:creator>
  <cp:lastModifiedBy>Yvens Rebouças Serpa</cp:lastModifiedBy>
  <dcterms:created xsi:type="dcterms:W3CDTF">2025-12-26T20:53:49Z</dcterms:created>
  <dcterms:modified xsi:type="dcterms:W3CDTF">2025-12-26T21:55:38Z</dcterms:modified>
</cp:coreProperties>
</file>